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ゲーム開発Ⅳ\UnityProject\2DRoguelikeSubject\Assets\Resources\MasterData\"/>
    </mc:Choice>
  </mc:AlternateContent>
  <xr:revisionPtr revIDLastSave="0" documentId="13_ncr:1_{B97A4840-4BAD-41AE-B20C-8728C15F36D0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ItemData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" i="1" l="1"/>
  <c r="C9" i="1"/>
  <c r="B8" i="1"/>
  <c r="C8" i="1"/>
  <c r="C6" i="1"/>
  <c r="B6" i="1"/>
  <c r="C5" i="1"/>
  <c r="B5" i="1"/>
  <c r="C4" i="1"/>
  <c r="B4" i="1"/>
  <c r="B3" i="1"/>
  <c r="B7" i="1"/>
  <c r="B2" i="1"/>
  <c r="C3" i="1"/>
  <c r="C7" i="1"/>
  <c r="C2" i="1"/>
</calcChain>
</file>

<file path=xl/sharedStrings.xml><?xml version="1.0" encoding="utf-8"?>
<sst xmlns="http://schemas.openxmlformats.org/spreadsheetml/2006/main" count="26" uniqueCount="18">
  <si>
    <t>ID</t>
    <phoneticPr fontId="1"/>
  </si>
  <si>
    <t>nameID</t>
    <phoneticPr fontId="1"/>
  </si>
  <si>
    <t>category</t>
    <phoneticPr fontId="1"/>
  </si>
  <si>
    <t>薬</t>
    <rPh sb="0" eb="1">
      <t>クスリ</t>
    </rPh>
    <phoneticPr fontId="1"/>
  </si>
  <si>
    <t>食べ物</t>
    <rPh sb="0" eb="1">
      <t>タ</t>
    </rPh>
    <rPh sb="2" eb="3">
      <t>モノ</t>
    </rPh>
    <phoneticPr fontId="1"/>
  </si>
  <si>
    <t>杖</t>
    <rPh sb="0" eb="1">
      <t>ツエ</t>
    </rPh>
    <phoneticPr fontId="1"/>
  </si>
  <si>
    <t>select</t>
    <phoneticPr fontId="1"/>
  </si>
  <si>
    <t>actionID</t>
    <phoneticPr fontId="1"/>
  </si>
  <si>
    <t>minCount</t>
    <phoneticPr fontId="1"/>
  </si>
  <si>
    <t>maxCount</t>
    <phoneticPr fontId="1"/>
  </si>
  <si>
    <t>burnID</t>
    <phoneticPr fontId="1"/>
  </si>
  <si>
    <t>rotID</t>
    <phoneticPr fontId="1"/>
  </si>
  <si>
    <t>巻物</t>
    <rPh sb="0" eb="2">
      <t>マキモノ</t>
    </rPh>
    <phoneticPr fontId="1"/>
  </si>
  <si>
    <t>バッグ</t>
    <phoneticPr fontId="1"/>
  </si>
  <si>
    <t>投げ物</t>
    <rPh sb="0" eb="1">
      <t>ナ</t>
    </rPh>
    <rPh sb="2" eb="3">
      <t>モノ</t>
    </rPh>
    <phoneticPr fontId="1"/>
  </si>
  <si>
    <t>武器</t>
    <rPh sb="0" eb="2">
      <t>ブキ</t>
    </rPh>
    <phoneticPr fontId="1"/>
  </si>
  <si>
    <t>防具</t>
    <rPh sb="0" eb="2">
      <t>ボウグ</t>
    </rPh>
    <phoneticPr fontId="1"/>
  </si>
  <si>
    <t>equipValue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</si>
</sst>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2" borderId="2" xfId="0" applyFill="1" applyBorder="1"/>
    <xf numFmtId="0" fontId="0" fillId="0" borderId="1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"/>
  <sheetViews>
    <sheetView tabSelected="1" workbookViewId="0">
      <selection activeCell="K4" sqref="K4"/>
    </sheetView>
  </sheetViews>
  <sheetFormatPr defaultRowHeight="18.75"/>
  <cols>
    <col min="1" max="1" width="4.5" bestFit="1" customWidth="1"/>
    <col min="2" max="2" width="8.125" bestFit="1" customWidth="1"/>
    <col min="3" max="3" width="8.625" bestFit="1" customWidth="1"/>
    <col min="4" max="4" width="6.625" bestFit="1" customWidth="1"/>
    <col min="5" max="5" width="8.625" bestFit="1" customWidth="1"/>
    <col min="6" max="6" width="9.875" bestFit="1" customWidth="1"/>
    <col min="7" max="7" width="10.125" bestFit="1" customWidth="1"/>
    <col min="8" max="8" width="7.375" bestFit="1" customWidth="1"/>
    <col min="9" max="9" width="5.625" bestFit="1" customWidth="1"/>
    <col min="10" max="10" width="11.375" bestFit="1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6</v>
      </c>
      <c r="E1" s="1" t="s">
        <v>7</v>
      </c>
      <c r="F1" s="1" t="s">
        <v>8</v>
      </c>
      <c r="G1" s="1" t="s">
        <v>9</v>
      </c>
      <c r="H1" s="3" t="s">
        <v>10</v>
      </c>
      <c r="I1" s="3" t="s">
        <v>11</v>
      </c>
      <c r="J1" s="1" t="s">
        <v>17</v>
      </c>
    </row>
    <row r="2" spans="1:10">
      <c r="A2" s="2">
        <v>0</v>
      </c>
      <c r="B2" s="2">
        <f>2000+A2</f>
        <v>2000</v>
      </c>
      <c r="C2" s="2">
        <f>VLOOKUP(D2,reference!A:B,2,FALSE)</f>
        <v>0</v>
      </c>
      <c r="D2" s="2" t="s">
        <v>3</v>
      </c>
      <c r="E2" s="2">
        <v>1</v>
      </c>
      <c r="F2" s="2">
        <v>-1</v>
      </c>
      <c r="G2" s="2">
        <v>-1</v>
      </c>
      <c r="H2" s="2">
        <v>-1</v>
      </c>
      <c r="I2" s="2">
        <v>-1</v>
      </c>
      <c r="J2" s="4">
        <v>0</v>
      </c>
    </row>
    <row r="3" spans="1:10">
      <c r="A3" s="2">
        <v>100</v>
      </c>
      <c r="B3" s="2">
        <f t="shared" ref="B3:B7" si="0">2000+A3</f>
        <v>2100</v>
      </c>
      <c r="C3" s="2">
        <f>VLOOKUP(D3,reference!A:B,2,FALSE)</f>
        <v>1</v>
      </c>
      <c r="D3" s="2" t="s">
        <v>4</v>
      </c>
      <c r="E3" s="2">
        <v>2</v>
      </c>
      <c r="F3" s="2">
        <v>-1</v>
      </c>
      <c r="G3" s="2">
        <v>-1</v>
      </c>
      <c r="H3" s="2">
        <v>101</v>
      </c>
      <c r="I3" s="2">
        <v>102</v>
      </c>
      <c r="J3" s="4">
        <v>0</v>
      </c>
    </row>
    <row r="4" spans="1:10">
      <c r="A4" s="2">
        <v>101</v>
      </c>
      <c r="B4" s="2">
        <f t="shared" ref="B4" si="1">2000+A4</f>
        <v>2101</v>
      </c>
      <c r="C4" s="2">
        <f>VLOOKUP(D4,reference!A:B,2,FALSE)</f>
        <v>1</v>
      </c>
      <c r="D4" s="2" t="s">
        <v>4</v>
      </c>
      <c r="E4" s="2">
        <v>6</v>
      </c>
      <c r="F4" s="2">
        <v>-1</v>
      </c>
      <c r="G4" s="2">
        <v>-1</v>
      </c>
      <c r="H4" s="2">
        <v>103</v>
      </c>
      <c r="I4" s="2">
        <v>102</v>
      </c>
      <c r="J4" s="4">
        <v>0</v>
      </c>
    </row>
    <row r="5" spans="1:10">
      <c r="A5" s="2">
        <v>102</v>
      </c>
      <c r="B5" s="2">
        <f t="shared" ref="B5" si="2">2000+A5</f>
        <v>2102</v>
      </c>
      <c r="C5" s="2">
        <f>VLOOKUP(D5,reference!A:B,2,FALSE)</f>
        <v>1</v>
      </c>
      <c r="D5" s="2" t="s">
        <v>4</v>
      </c>
      <c r="E5" s="2">
        <v>6</v>
      </c>
      <c r="F5" s="2">
        <v>-1</v>
      </c>
      <c r="G5" s="2">
        <v>-1</v>
      </c>
      <c r="H5" s="2">
        <v>101</v>
      </c>
      <c r="I5" s="2">
        <v>-1</v>
      </c>
      <c r="J5" s="4">
        <v>0</v>
      </c>
    </row>
    <row r="6" spans="1:10">
      <c r="A6" s="2">
        <v>103</v>
      </c>
      <c r="B6" s="2">
        <f t="shared" ref="B6" si="3">2000+A6</f>
        <v>2103</v>
      </c>
      <c r="C6" s="2">
        <f>VLOOKUP(D6,reference!A:B,2,FALSE)</f>
        <v>1</v>
      </c>
      <c r="D6" s="2" t="s">
        <v>4</v>
      </c>
      <c r="E6" s="2">
        <v>7</v>
      </c>
      <c r="F6" s="2">
        <v>-1</v>
      </c>
      <c r="G6" s="2">
        <v>-1</v>
      </c>
      <c r="H6" s="2">
        <v>-1</v>
      </c>
      <c r="I6" s="2">
        <v>102</v>
      </c>
      <c r="J6" s="4">
        <v>0</v>
      </c>
    </row>
    <row r="7" spans="1:10">
      <c r="A7" s="2">
        <v>200</v>
      </c>
      <c r="B7" s="2">
        <f t="shared" si="0"/>
        <v>2200</v>
      </c>
      <c r="C7" s="2">
        <f>VLOOKUP(D7,reference!A:B,2,FALSE)</f>
        <v>2</v>
      </c>
      <c r="D7" s="2" t="s">
        <v>5</v>
      </c>
      <c r="E7" s="2">
        <v>3</v>
      </c>
      <c r="F7" s="2">
        <v>3</v>
      </c>
      <c r="G7" s="2">
        <v>7</v>
      </c>
      <c r="H7" s="2">
        <v>-1</v>
      </c>
      <c r="I7" s="2">
        <v>-1</v>
      </c>
      <c r="J7" s="4">
        <v>0</v>
      </c>
    </row>
    <row r="8" spans="1:10">
      <c r="A8" s="2">
        <v>600</v>
      </c>
      <c r="B8" s="2">
        <f t="shared" ref="B8" si="4">2000+A8</f>
        <v>2600</v>
      </c>
      <c r="C8" s="2">
        <f>VLOOKUP(D8,reference!A:B,2,FALSE)</f>
        <v>6</v>
      </c>
      <c r="D8" s="2" t="s">
        <v>15</v>
      </c>
      <c r="E8" s="2">
        <v>-1</v>
      </c>
      <c r="F8" s="2">
        <v>-1</v>
      </c>
      <c r="G8" s="2">
        <v>-1</v>
      </c>
      <c r="H8" s="2">
        <v>-1</v>
      </c>
      <c r="I8" s="2">
        <v>-1</v>
      </c>
      <c r="J8" s="4">
        <v>3</v>
      </c>
    </row>
    <row r="9" spans="1:10">
      <c r="A9" s="2">
        <v>700</v>
      </c>
      <c r="B9" s="2">
        <f t="shared" ref="B9" si="5">2000+A9</f>
        <v>2700</v>
      </c>
      <c r="C9" s="2">
        <f>VLOOKUP(D9,reference!A:B,2,FALSE)</f>
        <v>7</v>
      </c>
      <c r="D9" s="2" t="s">
        <v>16</v>
      </c>
      <c r="E9" s="2">
        <v>-1</v>
      </c>
      <c r="F9" s="2">
        <v>-1</v>
      </c>
      <c r="G9" s="2">
        <v>-1</v>
      </c>
      <c r="H9" s="2">
        <v>-1</v>
      </c>
      <c r="I9" s="2">
        <v>-1</v>
      </c>
      <c r="J9" s="4">
        <v>2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73D9C5B-C2BB-486D-B865-CFF687593A46}">
          <x14:formula1>
            <xm:f>reference!$A:$A</xm:f>
          </x14:formula1>
          <xm:sqref>D2:D9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04DB-BBA9-40DF-8527-305A594DFD94}">
  <dimension ref="A1:B8"/>
  <sheetViews>
    <sheetView workbookViewId="0">
      <selection activeCell="E10" sqref="E10:F11"/>
    </sheetView>
  </sheetViews>
  <sheetFormatPr defaultRowHeight="18.75"/>
  <sheetData>
    <row r="1" spans="1:2">
      <c r="A1" t="s">
        <v>3</v>
      </c>
      <c r="B1">
        <v>0</v>
      </c>
    </row>
    <row r="2" spans="1:2">
      <c r="A2" t="s">
        <v>4</v>
      </c>
      <c r="B2">
        <v>1</v>
      </c>
    </row>
    <row r="3" spans="1:2">
      <c r="A3" t="s">
        <v>5</v>
      </c>
      <c r="B3">
        <v>2</v>
      </c>
    </row>
    <row r="4" spans="1:2">
      <c r="A4" t="s">
        <v>12</v>
      </c>
      <c r="B4">
        <v>3</v>
      </c>
    </row>
    <row r="5" spans="1:2">
      <c r="A5" t="s">
        <v>13</v>
      </c>
      <c r="B5">
        <v>4</v>
      </c>
    </row>
    <row r="6" spans="1:2">
      <c r="A6" t="s">
        <v>14</v>
      </c>
      <c r="B6">
        <v>5</v>
      </c>
    </row>
    <row r="7" spans="1:2">
      <c r="A7" t="s">
        <v>15</v>
      </c>
      <c r="B7">
        <v>6</v>
      </c>
    </row>
    <row r="8" spans="1:2">
      <c r="A8" t="s">
        <v>16</v>
      </c>
      <c r="B8">
        <v>7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ItemData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矢尾 宣明</cp:lastModifiedBy>
  <dcterms:created xsi:type="dcterms:W3CDTF">2015-06-05T18:19:34Z</dcterms:created>
  <dcterms:modified xsi:type="dcterms:W3CDTF">2025-03-27T03:37:21Z</dcterms:modified>
</cp:coreProperties>
</file>