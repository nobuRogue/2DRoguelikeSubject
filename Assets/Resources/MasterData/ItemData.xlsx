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7617BFBD-5C3D-4F6A-AA80-E113EF63BBFD}" xr6:coauthVersionLast="47" xr6:coauthVersionMax="47" xr10:uidLastSave="{00000000-0000-0000-0000-000000000000}"/>
  <bookViews>
    <workbookView xWindow="555" yWindow="-15135" windowWidth="15870" windowHeight="4350" xr2:uid="{00000000-000D-0000-FFFF-FFFF00000000}"/>
  </bookViews>
  <sheets>
    <sheet name="ItemData" sheetId="1" r:id="rId1"/>
    <sheet name="reference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D2" i="1"/>
  <c r="B9" i="1"/>
  <c r="D9" i="1"/>
  <c r="B8" i="1"/>
  <c r="D8" i="1"/>
  <c r="D6" i="1"/>
  <c r="B6" i="1"/>
  <c r="D5" i="1"/>
  <c r="B5" i="1"/>
  <c r="D4" i="1"/>
  <c r="B4" i="1"/>
  <c r="B3" i="1"/>
  <c r="B7" i="1"/>
  <c r="B2" i="1"/>
  <c r="D3" i="1"/>
  <c r="D7" i="1"/>
</calcChain>
</file>

<file path=xl/sharedStrings.xml><?xml version="1.0" encoding="utf-8"?>
<sst xmlns="http://schemas.openxmlformats.org/spreadsheetml/2006/main" count="27" uniqueCount="19">
  <si>
    <t>ID</t>
    <phoneticPr fontId="1"/>
  </si>
  <si>
    <t>nameID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</si>
  <si>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</si>
  <si>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</si>
  <si>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</si>
  <si>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</si>
  <si>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select</t>
    <phoneticPr fontId="1"/>
  </si>
  <si>
    <t>actionID</t>
    <phoneticPr fontId="1"/>
  </si>
  <si>
    <t>minCount</t>
    <phoneticPr fontId="1"/>
  </si>
  <si>
    <t>maxCount</t>
    <phoneticPr fontId="1"/>
  </si>
  <si>
    <t>burnID</t>
    <phoneticPr fontId="1"/>
  </si>
  <si>
    <t>rotID</t>
    <phoneticPr fontId="1"/>
  </si>
  <si>
    <t>巻物</t>
    <rPh sb="0" eb="2">
      <t>マキモノ</t>
    </rPh>
    <phoneticPr fontId="1"/>
  </si>
  <si>
    <t>バッグ</t>
    <phoneticPr fontId="1"/>
  </si>
  <si>
    <t>投げ物</t>
    <rPh sb="0" eb="1">
      <t>ナ</t>
    </rPh>
    <rPh sb="2" eb="3">
      <t>モノ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</si>
  <si>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</si>
  <si>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</si>
  <si>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equipValue</t>
    <phoneticPr fontId="1"/>
  </si>
  <si>
    <t>comment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</si>
</sst>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1" xfId="0" applyFill="1" applyBorder="1"/>
    <xf numFmtId="0" fontId="0" fillId="3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ssageData"/>
    </sheetNames>
    <sheetDataSet>
      <sheetData sheetId="0">
        <row r="1">
          <cell r="A1" t="str">
            <v>ID</v>
          </cell>
          <cell r="B1" t="str">
            <v>Message[]</v>
          </cell>
        </row>
        <row r="2">
          <cell r="A2">
            <v>0</v>
          </cell>
          <cell r="B2" t="str">
            <v>{0} に {1} ダメージ</v>
          </cell>
        </row>
        <row r="3">
          <cell r="A3">
            <v>1</v>
          </cell>
          <cell r="B3" t="str">
            <v>{0} のHPが {1} 回復した</v>
          </cell>
        </row>
        <row r="4">
          <cell r="A4">
            <v>2</v>
          </cell>
          <cell r="B4" t="str">
            <v>{0} の満腹度が {1} 回復した</v>
          </cell>
        </row>
        <row r="5">
          <cell r="A5">
            <v>3</v>
          </cell>
          <cell r="B5" t="str">
            <v>{0} の {1}</v>
          </cell>
        </row>
        <row r="6">
          <cell r="A6">
            <v>4</v>
          </cell>
          <cell r="B6" t="str">
            <v>{0} は焼けてしまった</v>
          </cell>
        </row>
        <row r="7">
          <cell r="A7">
            <v>5</v>
          </cell>
          <cell r="B7" t="str">
            <v>{0} は腐ってしまった</v>
          </cell>
        </row>
        <row r="8">
          <cell r="A8">
            <v>6</v>
          </cell>
          <cell r="B8" t="str">
            <v>{0} を置いた</v>
          </cell>
        </row>
        <row r="9">
          <cell r="A9">
            <v>7</v>
          </cell>
          <cell r="B9" t="str">
            <v>{0} を置けなかった</v>
          </cell>
        </row>
        <row r="10">
          <cell r="A10">
            <v>8</v>
          </cell>
          <cell r="B10" t="str">
            <v>{0} を装備した</v>
          </cell>
        </row>
        <row r="11">
          <cell r="A11">
            <v>9</v>
          </cell>
          <cell r="B11" t="str">
            <v>{0} を外した</v>
          </cell>
        </row>
        <row r="12">
          <cell r="A12">
            <v>10</v>
          </cell>
        </row>
        <row r="13">
          <cell r="A13">
            <v>11</v>
          </cell>
        </row>
        <row r="14">
          <cell r="A14">
            <v>12</v>
          </cell>
        </row>
        <row r="15">
          <cell r="A15">
            <v>13</v>
          </cell>
        </row>
        <row r="16">
          <cell r="A16">
            <v>1000</v>
          </cell>
          <cell r="B16" t="str">
            <v>{0}を拾えなかった</v>
          </cell>
        </row>
        <row r="17">
          <cell r="A17">
            <v>1001</v>
          </cell>
          <cell r="B17" t="str">
            <v>{0}を拾った</v>
          </cell>
        </row>
        <row r="18">
          <cell r="A18">
            <v>2000</v>
          </cell>
          <cell r="B18" t="str">
            <v>ポーションA</v>
          </cell>
        </row>
        <row r="19">
          <cell r="A19">
            <v>2100</v>
          </cell>
          <cell r="B19" t="str">
            <v>肉</v>
          </cell>
        </row>
        <row r="20">
          <cell r="A20">
            <v>2101</v>
          </cell>
          <cell r="B20" t="str">
            <v>焼けた肉</v>
          </cell>
        </row>
        <row r="21">
          <cell r="A21">
            <v>2102</v>
          </cell>
          <cell r="B21" t="str">
            <v>腐った肉</v>
          </cell>
        </row>
        <row r="22">
          <cell r="A22">
            <v>2103</v>
          </cell>
          <cell r="B22" t="str">
            <v>黒焦げ肉</v>
          </cell>
        </row>
        <row r="23">
          <cell r="A23">
            <v>2200</v>
          </cell>
          <cell r="B23" t="str">
            <v>杖C</v>
          </cell>
        </row>
        <row r="24">
          <cell r="A24">
            <v>2600</v>
          </cell>
          <cell r="B24" t="str">
            <v>テスト武器</v>
          </cell>
        </row>
        <row r="25">
          <cell r="A25">
            <v>2700</v>
          </cell>
          <cell r="B25" t="str">
            <v>てすと防具</v>
          </cell>
        </row>
        <row r="26">
          <cell r="A26">
            <v>10000</v>
          </cell>
          <cell r="B26" t="str">
            <v>プレイヤー</v>
          </cell>
        </row>
        <row r="27">
          <cell r="A27">
            <v>10001</v>
          </cell>
          <cell r="B27" t="str">
            <v>グール</v>
          </cell>
        </row>
        <row r="28">
          <cell r="A28">
            <v>10002</v>
          </cell>
          <cell r="B28" t="str">
            <v>ハエ</v>
          </cell>
        </row>
        <row r="29">
          <cell r="A29">
            <v>10003</v>
          </cell>
          <cell r="B29" t="str">
            <v>スライム</v>
          </cell>
        </row>
        <row r="30">
          <cell r="A30">
            <v>10004</v>
          </cell>
          <cell r="B30" t="str">
            <v>ゾンビA</v>
          </cell>
        </row>
        <row r="31">
          <cell r="A31">
            <v>10005</v>
          </cell>
          <cell r="B31" t="str">
            <v>ゾンビB</v>
          </cell>
        </row>
        <row r="32">
          <cell r="A32">
            <v>15000</v>
          </cell>
          <cell r="B32" t="str">
            <v>攻撃</v>
          </cell>
        </row>
        <row r="33">
          <cell r="A33">
            <v>15001</v>
          </cell>
          <cell r="B33" t="str">
            <v>ポーションA</v>
          </cell>
        </row>
        <row r="34">
          <cell r="A34">
            <v>15002</v>
          </cell>
          <cell r="B34" t="str">
            <v>肉</v>
          </cell>
        </row>
        <row r="35">
          <cell r="A35">
            <v>15003</v>
          </cell>
          <cell r="B35" t="str">
            <v>杖C</v>
          </cell>
        </row>
        <row r="36">
          <cell r="A36">
            <v>15004</v>
          </cell>
          <cell r="B36" t="str">
            <v>炎</v>
          </cell>
        </row>
        <row r="37">
          <cell r="A37">
            <v>15005</v>
          </cell>
          <cell r="B37" t="str">
            <v>腐り攻撃</v>
          </cell>
        </row>
        <row r="38">
          <cell r="A38">
            <v>15006</v>
          </cell>
          <cell r="B38" t="str">
            <v>焼けた肉</v>
          </cell>
        </row>
        <row r="39">
          <cell r="A39">
            <v>15007</v>
          </cell>
          <cell r="B39" t="str">
            <v>黒焦げ肉</v>
          </cell>
        </row>
        <row r="40">
          <cell r="A40">
            <v>20000</v>
          </cell>
          <cell r="B40" t="str">
            <v>使う</v>
          </cell>
        </row>
        <row r="41">
          <cell r="A41">
            <v>20001</v>
          </cell>
          <cell r="B41" t="str">
            <v>置く</v>
          </cell>
        </row>
        <row r="42">
          <cell r="A42">
            <v>20002</v>
          </cell>
          <cell r="B42" t="str">
            <v>装備</v>
          </cell>
        </row>
        <row r="43">
          <cell r="A43">
            <v>20003</v>
          </cell>
          <cell r="B43" t="str">
            <v>外す</v>
          </cell>
        </row>
        <row r="44">
          <cell r="A44">
            <v>20004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C2" sqref="C2"/>
    </sheetView>
  </sheetViews>
  <sheetFormatPr defaultRowHeight="18.75"/>
  <cols>
    <col min="1" max="1" width="4.5" bestFit="1" customWidth="1"/>
    <col min="2" max="2" width="8.125" bestFit="1" customWidth="1"/>
    <col min="3" max="3" width="12.375" bestFit="1" customWidth="1"/>
    <col min="4" max="4" width="8.625" bestFit="1" customWidth="1"/>
    <col min="5" max="5" width="6.625" bestFit="1" customWidth="1"/>
    <col min="6" max="6" width="8.625" bestFit="1" customWidth="1"/>
    <col min="7" max="7" width="9.875" bestFit="1" customWidth="1"/>
    <col min="8" max="8" width="10.125" bestFit="1" customWidth="1"/>
    <col min="9" max="9" width="7.375" bestFit="1" customWidth="1"/>
    <col min="10" max="10" width="5.625" bestFit="1" customWidth="1"/>
    <col min="11" max="11" width="11.375" bestFit="1" customWidth="1"/>
  </cols>
  <sheetData>
    <row r="1" spans="1:11">
      <c r="A1" s="1" t="s">
        <v>0</v>
      </c>
      <c r="B1" s="1" t="s">
        <v>1</v>
      </c>
      <c r="C1" s="5" t="s">
        <v>18</v>
      </c>
      <c r="D1" s="1" t="s">
        <v>2</v>
      </c>
      <c r="E1" s="1" t="s">
        <v>6</v>
      </c>
      <c r="F1" s="1" t="s">
        <v>7</v>
      </c>
      <c r="G1" s="1" t="s">
        <v>8</v>
      </c>
      <c r="H1" s="1" t="s">
        <v>9</v>
      </c>
      <c r="I1" s="3" t="s">
        <v>10</v>
      </c>
      <c r="J1" s="3" t="s">
        <v>11</v>
      </c>
      <c r="K1" s="1" t="s">
        <v>17</v>
      </c>
    </row>
    <row r="2" spans="1:11">
      <c r="A2" s="2">
        <v>0</v>
      </c>
      <c r="B2" s="2">
        <f>2000+A2</f>
        <v>2000</v>
      </c>
      <c r="C2" s="5" t="str">
        <f>VLOOKUP(B2,[1]MessageData!$A:$B,2,FALSE)</f>
        <v>ポーションA</v>
      </c>
      <c r="D2" s="2">
        <f>VLOOKUP(E2,reference!A:B,2,FALSE)</f>
        <v>0</v>
      </c>
      <c r="E2" s="2" t="s">
        <v>3</v>
      </c>
      <c r="F2" s="2">
        <v>1</v>
      </c>
      <c r="G2" s="2">
        <v>-1</v>
      </c>
      <c r="H2" s="2">
        <v>-1</v>
      </c>
      <c r="I2" s="2">
        <v>-1</v>
      </c>
      <c r="J2" s="2">
        <v>-1</v>
      </c>
      <c r="K2" s="4">
        <v>0</v>
      </c>
    </row>
    <row r="3" spans="1:11">
      <c r="A3" s="2">
        <v>100</v>
      </c>
      <c r="B3" s="2">
        <f t="shared" ref="B3:B7" si="0">2000+A3</f>
        <v>2100</v>
      </c>
      <c r="C3" s="5" t="str">
        <f>VLOOKUP(B3,[1]MessageData!$A:$B,2,FALSE)</f>
        <v>肉</v>
      </c>
      <c r="D3" s="2">
        <f>VLOOKUP(E3,reference!A:B,2,FALSE)</f>
        <v>1</v>
      </c>
      <c r="E3" s="2" t="s">
        <v>4</v>
      </c>
      <c r="F3" s="2">
        <v>2</v>
      </c>
      <c r="G3" s="2">
        <v>-1</v>
      </c>
      <c r="H3" s="2">
        <v>-1</v>
      </c>
      <c r="I3" s="2">
        <v>101</v>
      </c>
      <c r="J3" s="2">
        <v>102</v>
      </c>
      <c r="K3" s="4">
        <v>0</v>
      </c>
    </row>
    <row r="4" spans="1:11">
      <c r="A4" s="2">
        <v>101</v>
      </c>
      <c r="B4" s="2">
        <f t="shared" ref="B4" si="1">2000+A4</f>
        <v>2101</v>
      </c>
      <c r="C4" s="5" t="str">
        <f>VLOOKUP(B4,[1]MessageData!$A:$B,2,FALSE)</f>
        <v>焼けた肉</v>
      </c>
      <c r="D4" s="2">
        <f>VLOOKUP(E4,reference!A:B,2,FALSE)</f>
        <v>1</v>
      </c>
      <c r="E4" s="2" t="s">
        <v>4</v>
      </c>
      <c r="F4" s="2">
        <v>6</v>
      </c>
      <c r="G4" s="2">
        <v>-1</v>
      </c>
      <c r="H4" s="2">
        <v>-1</v>
      </c>
      <c r="I4" s="2">
        <v>103</v>
      </c>
      <c r="J4" s="2">
        <v>102</v>
      </c>
      <c r="K4" s="4">
        <v>0</v>
      </c>
    </row>
    <row r="5" spans="1:11">
      <c r="A5" s="2">
        <v>102</v>
      </c>
      <c r="B5" s="2">
        <f t="shared" ref="B5" si="2">2000+A5</f>
        <v>2102</v>
      </c>
      <c r="C5" s="5" t="str">
        <f>VLOOKUP(B5,[1]MessageData!$A:$B,2,FALSE)</f>
        <v>腐った肉</v>
      </c>
      <c r="D5" s="2">
        <f>VLOOKUP(E5,reference!A:B,2,FALSE)</f>
        <v>1</v>
      </c>
      <c r="E5" s="2" t="s">
        <v>4</v>
      </c>
      <c r="F5" s="2">
        <v>6</v>
      </c>
      <c r="G5" s="2">
        <v>-1</v>
      </c>
      <c r="H5" s="2">
        <v>-1</v>
      </c>
      <c r="I5" s="2">
        <v>101</v>
      </c>
      <c r="J5" s="2">
        <v>-1</v>
      </c>
      <c r="K5" s="4">
        <v>0</v>
      </c>
    </row>
    <row r="6" spans="1:11">
      <c r="A6" s="2">
        <v>103</v>
      </c>
      <c r="B6" s="2">
        <f t="shared" ref="B6" si="3">2000+A6</f>
        <v>2103</v>
      </c>
      <c r="C6" s="5" t="str">
        <f>VLOOKUP(B6,[1]MessageData!$A:$B,2,FALSE)</f>
        <v>黒焦げ肉</v>
      </c>
      <c r="D6" s="2">
        <f>VLOOKUP(E6,reference!A:B,2,FALSE)</f>
        <v>1</v>
      </c>
      <c r="E6" s="2" t="s">
        <v>4</v>
      </c>
      <c r="F6" s="2">
        <v>7</v>
      </c>
      <c r="G6" s="2">
        <v>-1</v>
      </c>
      <c r="H6" s="2">
        <v>-1</v>
      </c>
      <c r="I6" s="2">
        <v>-1</v>
      </c>
      <c r="J6" s="2">
        <v>102</v>
      </c>
      <c r="K6" s="4">
        <v>0</v>
      </c>
    </row>
    <row r="7" spans="1:11">
      <c r="A7" s="2">
        <v>200</v>
      </c>
      <c r="B7" s="2">
        <f t="shared" si="0"/>
        <v>2200</v>
      </c>
      <c r="C7" s="5" t="str">
        <f>VLOOKUP(B7,[1]MessageData!$A:$B,2,FALSE)</f>
        <v>杖C</v>
      </c>
      <c r="D7" s="2">
        <f>VLOOKUP(E7,reference!A:B,2,FALSE)</f>
        <v>2</v>
      </c>
      <c r="E7" s="2" t="s">
        <v>5</v>
      </c>
      <c r="F7" s="2">
        <v>3</v>
      </c>
      <c r="G7" s="2">
        <v>3</v>
      </c>
      <c r="H7" s="2">
        <v>7</v>
      </c>
      <c r="I7" s="2">
        <v>-1</v>
      </c>
      <c r="J7" s="2">
        <v>-1</v>
      </c>
      <c r="K7" s="4">
        <v>0</v>
      </c>
    </row>
    <row r="8" spans="1:11">
      <c r="A8" s="2">
        <v>600</v>
      </c>
      <c r="B8" s="2">
        <f t="shared" ref="B8" si="4">2000+A8</f>
        <v>2600</v>
      </c>
      <c r="C8" s="5" t="str">
        <f>VLOOKUP(B8,[1]MessageData!$A:$B,2,FALSE)</f>
        <v>テスト武器</v>
      </c>
      <c r="D8" s="2">
        <f>VLOOKUP(E8,reference!A:B,2,FALSE)</f>
        <v>6</v>
      </c>
      <c r="E8" s="2" t="s">
        <v>15</v>
      </c>
      <c r="F8" s="2">
        <v>-1</v>
      </c>
      <c r="G8" s="2">
        <v>-1</v>
      </c>
      <c r="H8" s="2">
        <v>-1</v>
      </c>
      <c r="I8" s="2">
        <v>-1</v>
      </c>
      <c r="J8" s="2">
        <v>-1</v>
      </c>
      <c r="K8" s="4">
        <v>100</v>
      </c>
    </row>
    <row r="9" spans="1:11">
      <c r="A9" s="2">
        <v>700</v>
      </c>
      <c r="B9" s="2">
        <f t="shared" ref="B9" si="5">2000+A9</f>
        <v>2700</v>
      </c>
      <c r="C9" s="5" t="str">
        <f>VLOOKUP(B9,[1]MessageData!$A:$B,2,FALSE)</f>
        <v>てすと防具</v>
      </c>
      <c r="D9" s="2">
        <f>VLOOKUP(E9,reference!A:B,2,FALSE)</f>
        <v>7</v>
      </c>
      <c r="E9" s="2" t="s">
        <v>16</v>
      </c>
      <c r="F9" s="2">
        <v>-1</v>
      </c>
      <c r="G9" s="2">
        <v>-1</v>
      </c>
      <c r="H9" s="2">
        <v>-1</v>
      </c>
      <c r="I9" s="2">
        <v>-1</v>
      </c>
      <c r="J9" s="2">
        <v>-1</v>
      </c>
      <c r="K9" s="4">
        <v>100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3D9C5B-C2BB-486D-B865-CFF687593A46}">
          <x14:formula1>
            <xm:f>reference!$A:$A</xm:f>
          </x14:formula1>
          <xm:sqref>E2:E9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04DB-BBA9-40DF-8527-305A594DFD94}">
  <dimension ref="A1:B8"/>
  <sheetViews>
    <sheetView workbookViewId="0">
      <selection activeCell="E10" sqref="E10:F11"/>
    </sheetView>
  </sheetViews>
  <sheetFormatPr defaultRowHeight="18.75"/>
  <sheetData>
    <row r="1" spans="1:2">
      <c r="A1" t="s">
        <v>3</v>
      </c>
      <c r="B1">
        <v>0</v>
      </c>
    </row>
    <row r="2" spans="1:2">
      <c r="A2" t="s">
        <v>4</v>
      </c>
      <c r="B2">
        <v>1</v>
      </c>
    </row>
    <row r="3" spans="1:2">
      <c r="A3" t="s">
        <v>5</v>
      </c>
      <c r="B3">
        <v>2</v>
      </c>
    </row>
    <row r="4" spans="1:2">
      <c r="A4" t="s">
        <v>12</v>
      </c>
      <c r="B4">
        <v>3</v>
      </c>
    </row>
    <row r="5" spans="1:2">
      <c r="A5" t="s">
        <v>13</v>
      </c>
      <c r="B5">
        <v>4</v>
      </c>
    </row>
    <row r="6" spans="1:2">
      <c r="A6" t="s">
        <v>14</v>
      </c>
      <c r="B6">
        <v>5</v>
      </c>
    </row>
    <row r="7" spans="1:2">
      <c r="A7" t="s">
        <v>15</v>
      </c>
      <c r="B7">
        <v>6</v>
      </c>
    </row>
    <row r="8" spans="1:2">
      <c r="A8" t="s">
        <v>16</v>
      </c>
      <c r="B8">
        <v>7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2025-03-27T05:32:24Z</dcterms:modified>
</cp:coreProperties>
</file>